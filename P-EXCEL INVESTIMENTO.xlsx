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7eeee36f9d1ce2/Desktop/"/>
    </mc:Choice>
  </mc:AlternateContent>
  <xr:revisionPtr revIDLastSave="105" documentId="8_{3510E186-53B2-4621-816B-6DA599EE16C1}" xr6:coauthVersionLast="47" xr6:coauthVersionMax="47" xr10:uidLastSave="{BEB87953-042B-449D-8240-7FC63072F67A}"/>
  <bookViews>
    <workbookView xWindow="-110" yWindow="-110" windowWidth="19420" windowHeight="11500" xr2:uid="{940696D6-E858-4706-A20F-7E60932C58FD}"/>
  </bookViews>
  <sheets>
    <sheet name="Planilha1" sheetId="1" r:id="rId1"/>
    <sheet name="Planilha2" sheetId="2" r:id="rId2"/>
  </sheets>
  <definedNames>
    <definedName name="aporte">Planilha1!$D$13</definedName>
    <definedName name="patrimonio">Planilha1!$D$16</definedName>
    <definedName name="qtd_anos">Planilha1!$D$14</definedName>
    <definedName name="Rendimento_Carteira">Planilha1!$D$9</definedName>
    <definedName name="salario">Planilha1!$D$8</definedName>
    <definedName name="sugestao_investimento">Planilha1!$D$10</definedName>
    <definedName name="taxa_mensal">Planilha1!$D$15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31" i="1" s="1"/>
  <c r="C32" i="1"/>
  <c r="D32" i="1" s="1"/>
  <c r="C33" i="1"/>
  <c r="D33" i="1" s="1"/>
  <c r="C34" i="1"/>
  <c r="D34" i="1" s="1"/>
  <c r="C35" i="1"/>
  <c r="D35" i="1" s="1"/>
  <c r="C30" i="1"/>
  <c r="D30" i="1" s="1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27" i="1"/>
  <c r="C21" i="1"/>
  <c r="D21" i="1" s="1"/>
  <c r="C22" i="1"/>
  <c r="D22" i="1" s="1"/>
  <c r="C23" i="1"/>
  <c r="D23" i="1" s="1"/>
  <c r="C24" i="1"/>
  <c r="D24" i="1" s="1"/>
  <c r="C20" i="1"/>
  <c r="D20" i="1" s="1"/>
  <c r="D16" i="1"/>
  <c r="D17" i="1" s="1"/>
  <c r="D10" i="1"/>
  <c r="D36" i="1" l="1"/>
</calcChain>
</file>

<file path=xl/sharedStrings.xml><?xml version="1.0" encoding="utf-8"?>
<sst xmlns="http://schemas.openxmlformats.org/spreadsheetml/2006/main" count="70" uniqueCount="33">
  <si>
    <t>Quanto investir por mês?</t>
  </si>
  <si>
    <t>INVESTIMENTO MENSAL</t>
  </si>
  <si>
    <t>Por quantos anos?</t>
  </si>
  <si>
    <t>Taxa de Rendimento mensal?</t>
  </si>
  <si>
    <t>Patrimônio acumulado?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</si>
  <si>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</si>
  <si>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</si>
  <si>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</si>
  <si>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</si>
  <si>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</si>
  <si>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</si>
  <si>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</si>
  <si>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CONFIGURAÇÕES</t>
  </si>
  <si>
    <t>Salário</t>
  </si>
  <si>
    <t>Rendimento Carteira</t>
  </si>
  <si>
    <t>Sugestão de Investimento</t>
  </si>
  <si>
    <t>DIVIDENDOS</t>
  </si>
  <si>
    <t>PERFIL</t>
  </si>
  <si>
    <t>MODERADO</t>
  </si>
  <si>
    <t>TIPO DE FII</t>
  </si>
  <si>
    <t>VALORES</t>
  </si>
  <si>
    <t>% SUGERIDO</t>
  </si>
  <si>
    <t>Papel</t>
  </si>
  <si>
    <t>Tijolo</t>
  </si>
  <si>
    <t>Híbridos</t>
  </si>
  <si>
    <t>FOFs</t>
  </si>
  <si>
    <t>Desenvolvimento</t>
  </si>
  <si>
    <t>Hotelarias</t>
  </si>
  <si>
    <t>TOTAL</t>
  </si>
  <si>
    <t>CONSERVADOR</t>
  </si>
  <si>
    <t>CHAVE</t>
  </si>
  <si>
    <t>AGRESSIVO</t>
  </si>
  <si>
    <t>Valor a ser investido/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</si>
</sst>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9.9948118533890809E-2"/>
      </left>
      <right style="thick">
        <color theme="1" tint="0.49998474074526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1" tint="0.499984740745262"/>
      </left>
      <right style="thin">
        <color theme="2" tint="-9.9948118533890809E-2"/>
      </right>
      <top style="thin">
        <color theme="2" tint="-9.9948118533890809E-2"/>
      </top>
      <bottom style="thick">
        <color theme="1" tint="0.499984740745262"/>
      </bottom>
      <diagonal/>
    </border>
    <border>
      <left style="thin">
        <color theme="2" tint="-9.9948118533890809E-2"/>
      </left>
      <right style="thick">
        <color theme="1" tint="0.499984740745262"/>
      </right>
      <top style="thin">
        <color theme="2" tint="-9.9948118533890809E-2"/>
      </top>
      <bottom style="thick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n">
        <color theme="2" tint="-9.9948118533890809E-2"/>
      </bottom>
      <diagonal/>
    </border>
    <border>
      <left style="thick">
        <color theme="1" tint="0.49998474074526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/>
      <top style="thick">
        <color theme="1" tint="0.49998474074526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ck">
        <color theme="1" tint="0.499984740745262"/>
      </bottom>
      <diagonal/>
    </border>
    <border>
      <left style="thin">
        <color theme="2" tint="-9.9948118533890809E-2"/>
      </left>
      <right style="thick">
        <color theme="1" tint="0.499984740745262"/>
      </right>
      <top style="thick">
        <color theme="1" tint="0.49998474074526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ck">
        <color theme="1" tint="0.49998474074526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ck">
        <color theme="1" tint="0.49998474074526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/>
      <right style="thin">
        <color theme="2" tint="-9.9948118533890809E-2"/>
      </right>
      <top/>
      <bottom style="thick">
        <color theme="1" tint="0.499984740745262"/>
      </bottom>
      <diagonal/>
    </border>
    <border>
      <left style="thin">
        <color theme="2" tint="-9.9948118533890809E-2"/>
      </left>
      <right style="thick">
        <color theme="1" tint="0.499984740745262"/>
      </right>
      <top/>
      <bottom style="thin">
        <color theme="2" tint="-9.9948118533890809E-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1" applyNumberFormat="0" applyFill="0" applyAlignment="0" applyProtection="0"/>
  </cellStyleXfs>
  <cellXfs count="42">
    <xf numFmtId="0" fontId="0" fillId="0" borderId="0" xfId="0"/>
    <xf numFmtId="9" fontId="0" fillId="0" borderId="0" xfId="0" applyNumberFormat="1"/>
    <xf numFmtId="0" fontId="5" fillId="0" borderId="0" xfId="0" applyFont="1"/>
    <xf numFmtId="0" fontId="6" fillId="3" borderId="20" xfId="0" applyFont="1" applyFill="1" applyBorder="1" applyAlignment="1">
      <alignment horizontal="center" vertical="center"/>
    </xf>
    <xf numFmtId="165" fontId="8" fillId="0" borderId="17" xfId="1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5" fontId="9" fillId="0" borderId="17" xfId="1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165" fontId="9" fillId="4" borderId="3" xfId="0" applyNumberFormat="1" applyFont="1" applyFill="1" applyBorder="1" applyAlignment="1">
      <alignment horizontal="center"/>
    </xf>
    <xf numFmtId="165" fontId="9" fillId="4" borderId="5" xfId="0" applyNumberFormat="1" applyFont="1" applyFill="1" applyBorder="1" applyAlignment="1">
      <alignment horizontal="center"/>
    </xf>
    <xf numFmtId="0" fontId="8" fillId="4" borderId="6" xfId="0" applyFont="1" applyFill="1" applyBorder="1" applyAlignment="1">
      <alignment horizontal="left" vertical="center"/>
    </xf>
    <xf numFmtId="165" fontId="9" fillId="4" borderId="8" xfId="1" applyNumberFormat="1" applyFont="1" applyFill="1" applyBorder="1" applyAlignment="1">
      <alignment horizontal="center" vertical="center"/>
    </xf>
    <xf numFmtId="165" fontId="9" fillId="4" borderId="11" xfId="1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165" fontId="9" fillId="4" borderId="9" xfId="1" applyNumberFormat="1" applyFont="1" applyFill="1" applyBorder="1" applyAlignment="1">
      <alignment horizontal="center" vertical="center"/>
    </xf>
    <xf numFmtId="165" fontId="9" fillId="4" borderId="12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165" fontId="9" fillId="4" borderId="10" xfId="0" applyNumberFormat="1" applyFont="1" applyFill="1" applyBorder="1" applyAlignment="1">
      <alignment horizontal="center"/>
    </xf>
    <xf numFmtId="165" fontId="8" fillId="4" borderId="5" xfId="1" applyNumberFormat="1" applyFont="1" applyFill="1" applyBorder="1" applyAlignment="1">
      <alignment horizontal="center"/>
    </xf>
    <xf numFmtId="165" fontId="0" fillId="0" borderId="0" xfId="0" applyNumberFormat="1"/>
    <xf numFmtId="0" fontId="4" fillId="6" borderId="0" xfId="0" applyFont="1" applyFill="1"/>
    <xf numFmtId="165" fontId="4" fillId="6" borderId="0" xfId="0" applyNumberFormat="1" applyFont="1" applyFill="1"/>
    <xf numFmtId="0" fontId="2" fillId="2" borderId="2" xfId="2" applyBorder="1" applyAlignment="1">
      <alignment horizontal="left" vertical="center"/>
    </xf>
    <xf numFmtId="0" fontId="2" fillId="2" borderId="2" xfId="2" applyBorder="1"/>
    <xf numFmtId="0" fontId="3" fillId="0" borderId="1" xfId="3" applyFill="1" applyAlignment="1">
      <alignment horizontal="left" vertical="center"/>
    </xf>
    <xf numFmtId="165" fontId="3" fillId="0" borderId="1" xfId="3" applyNumberFormat="1" applyFill="1"/>
    <xf numFmtId="0" fontId="3" fillId="0" borderId="1" xfId="3" applyFill="1"/>
    <xf numFmtId="0" fontId="7" fillId="3" borderId="18" xfId="0" applyFont="1" applyFill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0" fontId="8" fillId="4" borderId="13" xfId="0" applyFont="1" applyFill="1" applyBorder="1" applyAlignment="1">
      <alignment horizontal="left"/>
    </xf>
    <xf numFmtId="0" fontId="8" fillId="4" borderId="14" xfId="0" applyFont="1" applyFill="1" applyBorder="1" applyAlignment="1">
      <alignment horizontal="left"/>
    </xf>
    <xf numFmtId="0" fontId="9" fillId="4" borderId="13" xfId="0" applyFont="1" applyFill="1" applyBorder="1" applyAlignment="1">
      <alignment horizontal="left"/>
    </xf>
    <xf numFmtId="0" fontId="9" fillId="4" borderId="14" xfId="0" applyFont="1" applyFill="1" applyBorder="1" applyAlignment="1">
      <alignment horizontal="left"/>
    </xf>
    <xf numFmtId="0" fontId="9" fillId="4" borderId="15" xfId="0" applyFont="1" applyFill="1" applyBorder="1" applyAlignment="1">
      <alignment horizontal="left"/>
    </xf>
    <xf numFmtId="0" fontId="9" fillId="4" borderId="16" xfId="0" applyFont="1" applyFill="1" applyBorder="1" applyAlignment="1">
      <alignment horizontal="left"/>
    </xf>
    <xf numFmtId="0" fontId="7" fillId="5" borderId="18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left" vertical="center"/>
    </xf>
    <xf numFmtId="0" fontId="7" fillId="5" borderId="20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/>
    </xf>
    <xf numFmtId="0" fontId="8" fillId="4" borderId="16" xfId="0" applyFont="1" applyFill="1" applyBorder="1" applyAlignment="1">
      <alignment horizontal="left"/>
    </xf>
    <xf numFmtId="0" fontId="7" fillId="3" borderId="20" xfId="0" applyFont="1" applyFill="1" applyBorder="1" applyAlignment="1">
      <alignment horizontal="left" vertical="center"/>
    </xf>
  </cellXfs>
  <cellStyles count="4">
    <cellStyle name="Célula Vinculada" xfId="3" builtinId="24"/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1</xdr:row>
      <xdr:rowOff>14331</xdr:rowOff>
    </xdr:from>
    <xdr:to>
      <xdr:col>4</xdr:col>
      <xdr:colOff>12700</xdr:colOff>
      <xdr:row>5</xdr:row>
      <xdr:rowOff>31750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D74879-9594-EA48-2750-908C2690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96881"/>
          <a:ext cx="3670300" cy="75401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33DE-E29A-48B7-AD43-F96F8E7E3309}">
  <sheetPr>
    <pageSetUpPr fitToPage="1"/>
  </sheetPr>
  <dimension ref="A1:F50"/>
  <sheetViews>
    <sheetView showGridLines="0" tabSelected="1" workbookViewId="0">
      <selection activeCell="B27" sqref="B27"/>
    </sheetView>
  </sheetViews>
  <sheetFormatPr defaultColWidth="0" defaultRowHeight="14.5" x14ac:dyDescent="0.35"/>
  <cols>
    <col min="1" max="1" width="1.453125" customWidth="1"/>
    <col min="2" max="2" width="24.453125" bestFit="1" customWidth="1"/>
    <col min="3" max="3" width="15.08984375" bestFit="1" customWidth="1"/>
    <col min="4" max="4" width="12.36328125" bestFit="1" customWidth="1"/>
    <col min="5" max="5" width="2.453125" customWidth="1"/>
    <col min="6" max="6" width="9.08984375" hidden="1" customWidth="1"/>
    <col min="7" max="11" width="8.7265625" hidden="1" customWidth="1"/>
    <col min="12" max="16384" width="8.7265625" hidden="1"/>
  </cols>
  <sheetData>
    <row r="1" spans="2:4" ht="6.5" customHeight="1" x14ac:dyDescent="0.35"/>
    <row r="6" spans="2:4" ht="15" thickBot="1" x14ac:dyDescent="0.4"/>
    <row r="7" spans="2:4" ht="22" thickTop="1" thickBot="1" x14ac:dyDescent="0.4">
      <c r="B7" s="36" t="s">
        <v>12</v>
      </c>
      <c r="C7" s="37"/>
      <c r="D7" s="38"/>
    </row>
    <row r="8" spans="2:4" ht="16.5" thickTop="1" x14ac:dyDescent="0.4">
      <c r="B8" s="30" t="s">
        <v>13</v>
      </c>
      <c r="C8" s="31"/>
      <c r="D8" s="4">
        <v>5000</v>
      </c>
    </row>
    <row r="9" spans="2:4" ht="16" x14ac:dyDescent="0.4">
      <c r="B9" s="30" t="s">
        <v>14</v>
      </c>
      <c r="C9" s="31"/>
      <c r="D9" s="5">
        <v>6.0000000000000001E-3</v>
      </c>
    </row>
    <row r="10" spans="2:4" ht="16.5" thickBot="1" x14ac:dyDescent="0.45">
      <c r="B10" s="39" t="s">
        <v>15</v>
      </c>
      <c r="C10" s="40"/>
      <c r="D10" s="19">
        <f>D8*30%</f>
        <v>1500</v>
      </c>
    </row>
    <row r="11" spans="2:4" ht="15.5" thickTop="1" thickBot="1" x14ac:dyDescent="0.4"/>
    <row r="12" spans="2:4" ht="22" thickTop="1" thickBot="1" x14ac:dyDescent="0.4">
      <c r="B12" s="28" t="s">
        <v>1</v>
      </c>
      <c r="C12" s="29"/>
      <c r="D12" s="41"/>
    </row>
    <row r="13" spans="2:4" ht="17.5" customHeight="1" thickTop="1" x14ac:dyDescent="0.4">
      <c r="B13" s="30" t="s">
        <v>0</v>
      </c>
      <c r="C13" s="31"/>
      <c r="D13" s="6">
        <v>500</v>
      </c>
    </row>
    <row r="14" spans="2:4" ht="17.5" customHeight="1" x14ac:dyDescent="0.4">
      <c r="B14" s="30" t="s">
        <v>2</v>
      </c>
      <c r="C14" s="31"/>
      <c r="D14" s="7">
        <v>5</v>
      </c>
    </row>
    <row r="15" spans="2:4" ht="17.5" customHeight="1" x14ac:dyDescent="0.4">
      <c r="B15" s="30" t="s">
        <v>3</v>
      </c>
      <c r="C15" s="31"/>
      <c r="D15" s="8">
        <v>1.0789999999999999E-2</v>
      </c>
    </row>
    <row r="16" spans="2:4" ht="17.5" customHeight="1" x14ac:dyDescent="0.4">
      <c r="B16" s="32" t="s">
        <v>4</v>
      </c>
      <c r="C16" s="33"/>
      <c r="D16" s="9">
        <f>-FV(taxa_mensal,qtd_anos*12,aporte)</f>
        <v>41888.456999243819</v>
      </c>
    </row>
    <row r="17" spans="1:4" ht="17.5" customHeight="1" thickBot="1" x14ac:dyDescent="0.45">
      <c r="B17" s="34" t="s">
        <v>5</v>
      </c>
      <c r="C17" s="35"/>
      <c r="D17" s="10">
        <f>patrimonio*Rendimento_Carteira</f>
        <v>251.33074199546292</v>
      </c>
    </row>
    <row r="18" spans="1:4" ht="15.5" thickTop="1" thickBot="1" x14ac:dyDescent="0.4"/>
    <row r="19" spans="1:4" ht="22" thickTop="1" thickBot="1" x14ac:dyDescent="0.4">
      <c r="B19" s="28" t="s">
        <v>6</v>
      </c>
      <c r="C19" s="29"/>
      <c r="D19" s="3" t="s">
        <v>16</v>
      </c>
    </row>
    <row r="20" spans="1:4" ht="17.5" customHeight="1" thickTop="1" x14ac:dyDescent="0.35">
      <c r="A20" s="2">
        <v>2</v>
      </c>
      <c r="B20" s="11" t="s">
        <v>7</v>
      </c>
      <c r="C20" s="12">
        <f>-FV(taxa_mensal,A20*12,aporte)</f>
        <v>13613.813648822608</v>
      </c>
      <c r="D20" s="13">
        <f>C20*Rendimento_Carteira</f>
        <v>81.682881892935654</v>
      </c>
    </row>
    <row r="21" spans="1:4" ht="17.5" customHeight="1" x14ac:dyDescent="0.35">
      <c r="A21" s="2">
        <v>5</v>
      </c>
      <c r="B21" s="14" t="s">
        <v>8</v>
      </c>
      <c r="C21" s="15">
        <f>-FV(taxa_mensal,A21*12,aporte)</f>
        <v>41888.456999243819</v>
      </c>
      <c r="D21" s="16">
        <f>C21*Rendimento_Carteira</f>
        <v>251.33074199546292</v>
      </c>
    </row>
    <row r="22" spans="1:4" ht="17.5" customHeight="1" x14ac:dyDescent="0.35">
      <c r="A22" s="2">
        <v>10</v>
      </c>
      <c r="B22" s="14" t="s">
        <v>9</v>
      </c>
      <c r="C22" s="15">
        <f>-FV(taxa_mensal,A22*12,aporte)</f>
        <v>121642.1062650861</v>
      </c>
      <c r="D22" s="16">
        <f>C22*Rendimento_Carteira</f>
        <v>729.85263759051657</v>
      </c>
    </row>
    <row r="23" spans="1:4" ht="17.5" customHeight="1" x14ac:dyDescent="0.35">
      <c r="A23" s="2">
        <v>20</v>
      </c>
      <c r="B23" s="14" t="s">
        <v>10</v>
      </c>
      <c r="C23" s="15">
        <f>-FV(taxa_mensal,A23*12,aporte)</f>
        <v>562599.20004854025</v>
      </c>
      <c r="D23" s="16">
        <f>C23*Rendimento_Carteira</f>
        <v>3375.5952002912418</v>
      </c>
    </row>
    <row r="24" spans="1:4" ht="17.5" customHeight="1" thickBot="1" x14ac:dyDescent="0.45">
      <c r="A24" s="2">
        <v>30</v>
      </c>
      <c r="B24" s="17" t="s">
        <v>11</v>
      </c>
      <c r="C24" s="18">
        <f>-FV(taxa_mensal,A24*12,aporte)</f>
        <v>2161084.8275023573</v>
      </c>
      <c r="D24" s="10">
        <f>C24*Rendimento_Carteira</f>
        <v>12966.508965014144</v>
      </c>
    </row>
    <row r="25" spans="1:4" ht="15" thickTop="1" x14ac:dyDescent="0.35"/>
    <row r="26" spans="1:4" ht="15" thickBot="1" x14ac:dyDescent="0.4">
      <c r="B26" s="23" t="s">
        <v>17</v>
      </c>
      <c r="C26" s="24" t="s">
        <v>18</v>
      </c>
      <c r="D26" s="24"/>
    </row>
    <row r="27" spans="1:4" ht="15.5" thickTop="1" thickBot="1" x14ac:dyDescent="0.4">
      <c r="B27" s="25" t="s">
        <v>32</v>
      </c>
      <c r="C27" s="26">
        <f>aporte</f>
        <v>500</v>
      </c>
      <c r="D27" s="27"/>
    </row>
    <row r="28" spans="1:4" ht="15" thickTop="1" x14ac:dyDescent="0.35"/>
    <row r="29" spans="1:4" x14ac:dyDescent="0.35">
      <c r="B29" s="21" t="s">
        <v>19</v>
      </c>
      <c r="C29" s="21" t="s">
        <v>21</v>
      </c>
      <c r="D29" s="21" t="s">
        <v>20</v>
      </c>
    </row>
    <row r="30" spans="1:4" x14ac:dyDescent="0.35">
      <c r="B30" t="s">
        <v>22</v>
      </c>
      <c r="C30" s="1">
        <f>VLOOKUP($C$26&amp;"-"&amp;B30,Planilha2!A:D,4,FALSE)</f>
        <v>0.32</v>
      </c>
      <c r="D30" s="20">
        <f>C30*$C$27</f>
        <v>160</v>
      </c>
    </row>
    <row r="31" spans="1:4" x14ac:dyDescent="0.35">
      <c r="B31" t="s">
        <v>23</v>
      </c>
      <c r="C31" s="1">
        <f>VLOOKUP($C$26&amp;"-"&amp;B31,Planilha2!A:D,4,FALSE)</f>
        <v>0.35</v>
      </c>
      <c r="D31" s="20">
        <f t="shared" ref="D31:D35" si="0">C31*$C$27</f>
        <v>175</v>
      </c>
    </row>
    <row r="32" spans="1:4" x14ac:dyDescent="0.35">
      <c r="B32" t="s">
        <v>24</v>
      </c>
      <c r="C32" s="1">
        <f>VLOOKUP($C$26&amp;"-"&amp;B32,Planilha2!A:D,4,FALSE)</f>
        <v>0.08</v>
      </c>
      <c r="D32" s="20">
        <f t="shared" si="0"/>
        <v>40</v>
      </c>
    </row>
    <row r="33" spans="2:4" x14ac:dyDescent="0.35">
      <c r="B33" t="s">
        <v>25</v>
      </c>
      <c r="C33" s="1">
        <f>VLOOKUP($C$26&amp;"-"&amp;B33,Planilha2!A:D,4,FALSE)</f>
        <v>0.05</v>
      </c>
      <c r="D33" s="20">
        <f t="shared" si="0"/>
        <v>25</v>
      </c>
    </row>
    <row r="34" spans="2:4" x14ac:dyDescent="0.35">
      <c r="B34" t="s">
        <v>26</v>
      </c>
      <c r="C34" s="1">
        <f>VLOOKUP($C$26&amp;"-"&amp;B34,Planilha2!A:D,4,FALSE)</f>
        <v>0.1</v>
      </c>
      <c r="D34" s="20">
        <f t="shared" si="0"/>
        <v>50</v>
      </c>
    </row>
    <row r="35" spans="2:4" x14ac:dyDescent="0.35">
      <c r="B35" t="s">
        <v>27</v>
      </c>
      <c r="C35" s="1">
        <f>VLOOKUP($C$26&amp;"-"&amp;B35,Planilha2!A:D,4,FALSE)</f>
        <v>0.1</v>
      </c>
      <c r="D35" s="20">
        <f t="shared" si="0"/>
        <v>50</v>
      </c>
    </row>
    <row r="36" spans="2:4" x14ac:dyDescent="0.35">
      <c r="B36" s="21" t="s">
        <v>28</v>
      </c>
      <c r="C36" s="21"/>
      <c r="D36" s="22">
        <f>SUM(D30:D35)</f>
        <v>500</v>
      </c>
    </row>
    <row r="49" customFormat="1" x14ac:dyDescent="0.35"/>
    <row r="50" customFormat="1" x14ac:dyDescent="0.35"/>
  </sheetData>
  <mergeCells count="11">
    <mergeCell ref="B13:C13"/>
    <mergeCell ref="B7:D7"/>
    <mergeCell ref="B8:C8"/>
    <mergeCell ref="B9:C9"/>
    <mergeCell ref="B10:C10"/>
    <mergeCell ref="B12:D12"/>
    <mergeCell ref="B19:C19"/>
    <mergeCell ref="B14:C14"/>
    <mergeCell ref="B15:C15"/>
    <mergeCell ref="B16:C16"/>
    <mergeCell ref="B17:C17"/>
  </mergeCells>
  <dataValidations count="1">
    <dataValidation type="list" allowBlank="1" showInputMessage="1" showErrorMessage="1" sqref="C26" xr:uid="{B301533C-5818-46FE-A5CD-0BDA5F7C81B2}">
      <formula1>"CONSERVADOR,MODERADO,AGRESSIVO"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5E12-FD57-4695-B2DF-84C8F94E8E89}">
  <dimension ref="A2:D20"/>
  <sheetViews>
    <sheetView workbookViewId="0">
      <selection activeCell="D13" sqref="D13"/>
    </sheetView>
  </sheetViews>
  <sheetFormatPr defaultRowHeight="14.5" x14ac:dyDescent="0.35"/>
  <cols>
    <col min="1" max="1" width="28.6328125" bestFit="1" customWidth="1"/>
    <col min="2" max="2" width="13.81640625" bestFit="1" customWidth="1"/>
    <col min="3" max="3" width="14.81640625" bestFit="1" customWidth="1"/>
  </cols>
  <sheetData>
    <row r="2" spans="1:4" x14ac:dyDescent="0.35">
      <c r="A2" t="s">
        <v>30</v>
      </c>
      <c r="B2" t="s">
        <v>17</v>
      </c>
      <c r="C2" t="s">
        <v>19</v>
      </c>
      <c r="D2" t="s">
        <v>21</v>
      </c>
    </row>
    <row r="3" spans="1:4" x14ac:dyDescent="0.35">
      <c r="A3" t="str">
        <f>B3&amp;"-"&amp;C3</f>
        <v>CONSERVADOR-Papel</v>
      </c>
      <c r="B3" t="s">
        <v>29</v>
      </c>
      <c r="C3" t="s">
        <v>22</v>
      </c>
      <c r="D3" s="1">
        <v>0.3</v>
      </c>
    </row>
    <row r="4" spans="1:4" x14ac:dyDescent="0.35">
      <c r="A4" t="str">
        <f t="shared" ref="A4:A20" si="0">B4&amp;"-"&amp;C4</f>
        <v>CONSERVADOR-Tijolo</v>
      </c>
      <c r="B4" t="s">
        <v>29</v>
      </c>
      <c r="C4" t="s">
        <v>23</v>
      </c>
      <c r="D4" s="1">
        <v>0.5</v>
      </c>
    </row>
    <row r="5" spans="1:4" x14ac:dyDescent="0.35">
      <c r="A5" t="str">
        <f t="shared" si="0"/>
        <v>CONSERVADOR-Híbridos</v>
      </c>
      <c r="B5" t="s">
        <v>29</v>
      </c>
      <c r="C5" t="s">
        <v>24</v>
      </c>
      <c r="D5" s="1">
        <v>0.1</v>
      </c>
    </row>
    <row r="6" spans="1:4" x14ac:dyDescent="0.35">
      <c r="A6" t="str">
        <f t="shared" si="0"/>
        <v>CONSERVADOR-FOFs</v>
      </c>
      <c r="B6" t="s">
        <v>29</v>
      </c>
      <c r="C6" t="s">
        <v>25</v>
      </c>
      <c r="D6" s="1">
        <v>0.1</v>
      </c>
    </row>
    <row r="7" spans="1:4" x14ac:dyDescent="0.35">
      <c r="A7" t="str">
        <f t="shared" si="0"/>
        <v>CONSERVADOR-Desenvolvimento</v>
      </c>
      <c r="B7" t="s">
        <v>29</v>
      </c>
      <c r="C7" t="s">
        <v>26</v>
      </c>
      <c r="D7" s="1">
        <v>0</v>
      </c>
    </row>
    <row r="8" spans="1:4" x14ac:dyDescent="0.35">
      <c r="A8" t="str">
        <f t="shared" si="0"/>
        <v>CONSERVADOR-Hotelarias</v>
      </c>
      <c r="B8" t="s">
        <v>29</v>
      </c>
      <c r="C8" t="s">
        <v>27</v>
      </c>
      <c r="D8" s="1">
        <v>0</v>
      </c>
    </row>
    <row r="9" spans="1:4" x14ac:dyDescent="0.35">
      <c r="A9" t="str">
        <f t="shared" si="0"/>
        <v>MODERADO-Papel</v>
      </c>
      <c r="B9" t="s">
        <v>18</v>
      </c>
      <c r="C9" t="s">
        <v>22</v>
      </c>
      <c r="D9" s="1">
        <v>0.32</v>
      </c>
    </row>
    <row r="10" spans="1:4" x14ac:dyDescent="0.35">
      <c r="A10" t="str">
        <f t="shared" si="0"/>
        <v>MODERADO-Tijolo</v>
      </c>
      <c r="B10" t="s">
        <v>18</v>
      </c>
      <c r="C10" t="s">
        <v>23</v>
      </c>
      <c r="D10" s="1">
        <v>0.35</v>
      </c>
    </row>
    <row r="11" spans="1:4" x14ac:dyDescent="0.35">
      <c r="A11" t="str">
        <f t="shared" si="0"/>
        <v>MODERADO-Híbridos</v>
      </c>
      <c r="B11" t="s">
        <v>18</v>
      </c>
      <c r="C11" t="s">
        <v>24</v>
      </c>
      <c r="D11" s="1">
        <v>0.08</v>
      </c>
    </row>
    <row r="12" spans="1:4" x14ac:dyDescent="0.35">
      <c r="A12" t="str">
        <f t="shared" si="0"/>
        <v>MODERADO-FOFs</v>
      </c>
      <c r="B12" t="s">
        <v>18</v>
      </c>
      <c r="C12" t="s">
        <v>25</v>
      </c>
      <c r="D12" s="1">
        <v>0.05</v>
      </c>
    </row>
    <row r="13" spans="1:4" x14ac:dyDescent="0.35">
      <c r="A13" t="str">
        <f t="shared" si="0"/>
        <v>MODERADO-Desenvolvimento</v>
      </c>
      <c r="B13" t="s">
        <v>18</v>
      </c>
      <c r="C13" t="s">
        <v>26</v>
      </c>
      <c r="D13" s="1">
        <v>0.1</v>
      </c>
    </row>
    <row r="14" spans="1:4" x14ac:dyDescent="0.35">
      <c r="A14" t="str">
        <f t="shared" si="0"/>
        <v>MODERADO-Hotelarias</v>
      </c>
      <c r="B14" t="s">
        <v>18</v>
      </c>
      <c r="C14" t="s">
        <v>27</v>
      </c>
      <c r="D14" s="1">
        <v>0.1</v>
      </c>
    </row>
    <row r="15" spans="1:4" x14ac:dyDescent="0.35">
      <c r="A15" t="str">
        <f t="shared" si="0"/>
        <v>AGRESSIVO-Papel</v>
      </c>
      <c r="B15" t="s">
        <v>31</v>
      </c>
      <c r="C15" t="s">
        <v>22</v>
      </c>
      <c r="D15" s="1">
        <v>0.5</v>
      </c>
    </row>
    <row r="16" spans="1:4" x14ac:dyDescent="0.35">
      <c r="A16" t="str">
        <f t="shared" si="0"/>
        <v>AGRESSIVO-Tijolo</v>
      </c>
      <c r="B16" t="s">
        <v>31</v>
      </c>
      <c r="C16" t="s">
        <v>23</v>
      </c>
      <c r="D16" s="1">
        <v>0.1</v>
      </c>
    </row>
    <row r="17" spans="1:4" x14ac:dyDescent="0.35">
      <c r="A17" t="str">
        <f t="shared" si="0"/>
        <v>AGRESSIVO-Híbridos</v>
      </c>
      <c r="B17" t="s">
        <v>31</v>
      </c>
      <c r="C17" t="s">
        <v>24</v>
      </c>
      <c r="D17" s="1">
        <v>0.05</v>
      </c>
    </row>
    <row r="18" spans="1:4" x14ac:dyDescent="0.35">
      <c r="A18" t="str">
        <f t="shared" si="0"/>
        <v>AGRESSIVO-FOFs</v>
      </c>
      <c r="B18" t="s">
        <v>31</v>
      </c>
      <c r="C18" t="s">
        <v>25</v>
      </c>
      <c r="D18" s="1">
        <v>0.05</v>
      </c>
    </row>
    <row r="19" spans="1:4" x14ac:dyDescent="0.35">
      <c r="A19" t="str">
        <f t="shared" si="0"/>
        <v>AGRESSIVO-Desenvolvimento</v>
      </c>
      <c r="B19" t="s">
        <v>31</v>
      </c>
      <c r="C19" t="s">
        <v>26</v>
      </c>
      <c r="D19" s="1">
        <v>0.2</v>
      </c>
    </row>
    <row r="20" spans="1:4" x14ac:dyDescent="0.35">
      <c r="A20" t="str">
        <f t="shared" si="0"/>
        <v>AGRESSIVO-Hotelarias</v>
      </c>
      <c r="B20" t="s">
        <v>31</v>
      </c>
      <c r="C20" t="s">
        <v>27</v>
      </c>
      <c r="D20" s="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Kamylle Souza</dc:creator>
  <cp:lastModifiedBy>Kamylle Souza</cp:lastModifiedBy>
  <cp:lastPrinted>2026-01-20T20:48:46Z</cp:lastPrinted>
  <dcterms:created xsi:type="dcterms:W3CDTF">2026-01-20T19:30:48Z</dcterms:created>
  <dcterms:modified xsi:type="dcterms:W3CDTF">2026-01-20T21:02:51Z</dcterms:modified>
</cp:coreProperties>
</file>